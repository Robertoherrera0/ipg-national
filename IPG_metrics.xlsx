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 defaultThemeVersion="124226"/>
  <xr:revisionPtr revIDLastSave="24" documentId="11_23F921EDE8030C30B92D4CD47D813E3D70A47F9C" xr6:coauthVersionLast="47" xr6:coauthVersionMax="47" xr10:uidLastSave="{2BD74838-455A-4027-86D9-DB457983278D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9" i="1" l="1"/>
  <c r="N25" i="1"/>
  <c r="N24" i="1"/>
  <c r="N20" i="1"/>
  <c r="N44" i="1"/>
  <c r="N32" i="1"/>
  <c r="N43" i="1"/>
  <c r="N2" i="1"/>
  <c r="N8" i="1"/>
  <c r="N35" i="1"/>
  <c r="N46" i="1"/>
  <c r="N7" i="1"/>
  <c r="N49" i="1"/>
  <c r="N3" i="1"/>
  <c r="N31" i="1"/>
  <c r="N33" i="1"/>
  <c r="N6" i="1"/>
  <c r="N41" i="1"/>
  <c r="N42" i="1"/>
  <c r="N37" i="1"/>
  <c r="N10" i="1"/>
  <c r="N11" i="1"/>
  <c r="N18" i="1"/>
  <c r="N22" i="1"/>
  <c r="N4" i="1"/>
  <c r="N34" i="1"/>
  <c r="N52" i="1"/>
  <c r="N17" i="1"/>
  <c r="N12" i="1"/>
  <c r="N9" i="1"/>
  <c r="N29" i="1"/>
  <c r="N36" i="1"/>
  <c r="N38" i="1"/>
  <c r="N30" i="1"/>
  <c r="N19" i="1"/>
  <c r="N51" i="1"/>
  <c r="N28" i="1"/>
  <c r="N26" i="1"/>
  <c r="N16" i="1"/>
  <c r="N14" i="1"/>
  <c r="N15" i="1"/>
  <c r="N27" i="1"/>
  <c r="N13" i="1"/>
  <c r="N40" i="1"/>
  <c r="N47" i="1"/>
  <c r="N23" i="1"/>
  <c r="N5" i="1"/>
  <c r="N48" i="1"/>
  <c r="N21" i="1"/>
  <c r="N45" i="1"/>
  <c r="N50" i="1"/>
  <c r="D39" i="1"/>
  <c r="D25" i="1"/>
  <c r="D24" i="1"/>
  <c r="D20" i="1"/>
  <c r="D44" i="1"/>
  <c r="D32" i="1"/>
  <c r="D43" i="1"/>
  <c r="D2" i="1"/>
  <c r="D8" i="1"/>
  <c r="D35" i="1"/>
  <c r="D46" i="1"/>
  <c r="D7" i="1"/>
  <c r="D49" i="1"/>
  <c r="D3" i="1"/>
  <c r="D31" i="1"/>
  <c r="D33" i="1"/>
  <c r="D6" i="1"/>
  <c r="D41" i="1"/>
  <c r="D42" i="1"/>
  <c r="D37" i="1"/>
  <c r="D10" i="1"/>
  <c r="D11" i="1"/>
  <c r="D18" i="1"/>
  <c r="D22" i="1"/>
  <c r="D4" i="1"/>
  <c r="D34" i="1"/>
  <c r="D52" i="1"/>
  <c r="D17" i="1"/>
  <c r="D12" i="1"/>
  <c r="D9" i="1"/>
  <c r="D29" i="1"/>
  <c r="D36" i="1"/>
  <c r="D38" i="1"/>
  <c r="D30" i="1"/>
  <c r="D19" i="1"/>
  <c r="D51" i="1"/>
  <c r="D28" i="1"/>
  <c r="D26" i="1"/>
  <c r="D16" i="1"/>
  <c r="D14" i="1"/>
  <c r="D15" i="1"/>
  <c r="D27" i="1"/>
  <c r="D13" i="1"/>
  <c r="D40" i="1"/>
  <c r="D47" i="1"/>
  <c r="D23" i="1"/>
  <c r="D5" i="1"/>
  <c r="D48" i="1"/>
  <c r="D21" i="1"/>
  <c r="D45" i="1"/>
  <c r="D50" i="1"/>
</calcChain>
</file>

<file path=xl/sharedStrings.xml><?xml version="1.0" encoding="utf-8"?>
<sst xmlns="http://schemas.openxmlformats.org/spreadsheetml/2006/main" count="70" uniqueCount="70">
  <si>
    <t>School</t>
  </si>
  <si>
    <t>Nodes</t>
  </si>
  <si>
    <t>Edges</t>
  </si>
  <si>
    <t>Edges/Nodes</t>
  </si>
  <si>
    <t>Richclub K0</t>
  </si>
  <si>
    <t>Richclub K1</t>
  </si>
  <si>
    <t>Richclub K2</t>
  </si>
  <si>
    <t>Assortativity Unweighted</t>
  </si>
  <si>
    <t>Assortativity Weighted</t>
  </si>
  <si>
    <t>K</t>
  </si>
  <si>
    <t>N Cliques</t>
  </si>
  <si>
    <t>Largest Clique Size</t>
  </si>
  <si>
    <t>Overlap Nodes</t>
  </si>
  <si>
    <t>Clique Integration</t>
  </si>
  <si>
    <t>Average Shortest Path Length</t>
  </si>
  <si>
    <t>Diameter</t>
  </si>
  <si>
    <t>Avg Path Over Diameter</t>
  </si>
  <si>
    <t>Sigma Small World Index</t>
  </si>
  <si>
    <t>Omega Small World Index</t>
  </si>
  <si>
    <t>Florida</t>
  </si>
  <si>
    <t>KState</t>
  </si>
  <si>
    <t>Nebraska</t>
  </si>
  <si>
    <t>WashState</t>
  </si>
  <si>
    <t>MU</t>
  </si>
  <si>
    <t>Illinois</t>
  </si>
  <si>
    <t>Georgia</t>
  </si>
  <si>
    <t>NorthDakota</t>
  </si>
  <si>
    <t>Michigan</t>
  </si>
  <si>
    <t>Minnesota</t>
  </si>
  <si>
    <t>NorthCarolina</t>
  </si>
  <si>
    <t>UTenn</t>
  </si>
  <si>
    <t>UArk</t>
  </si>
  <si>
    <t>UCDavis</t>
  </si>
  <si>
    <t>TexasA&amp;M</t>
  </si>
  <si>
    <t>NewMexico</t>
  </si>
  <si>
    <t>Mississippi</t>
  </si>
  <si>
    <t>Purdue</t>
  </si>
  <si>
    <t>ColoradoState</t>
  </si>
  <si>
    <t>Wisconsin</t>
  </si>
  <si>
    <t>MontanaState</t>
  </si>
  <si>
    <t>VirginiaTech</t>
  </si>
  <si>
    <t>Clemson</t>
  </si>
  <si>
    <t>Auburn</t>
  </si>
  <si>
    <t>SouthDakota</t>
  </si>
  <si>
    <t>UCRiver</t>
  </si>
  <si>
    <t>Rutgers</t>
  </si>
  <si>
    <t>OKState</t>
  </si>
  <si>
    <t>PennState</t>
  </si>
  <si>
    <t>Kentucky</t>
  </si>
  <si>
    <t>Cornell</t>
  </si>
  <si>
    <t>LouisianaState</t>
  </si>
  <si>
    <t>Nevada</t>
  </si>
  <si>
    <t>Hawaii</t>
  </si>
  <si>
    <t>OhioState</t>
  </si>
  <si>
    <t>Massachusetts</t>
  </si>
  <si>
    <t>Oregon</t>
  </si>
  <si>
    <t>Arizona</t>
  </si>
  <si>
    <t>UtahState</t>
  </si>
  <si>
    <t>Maine</t>
  </si>
  <si>
    <t>Maryland</t>
  </si>
  <si>
    <t>Delaware</t>
  </si>
  <si>
    <t>Connecticut</t>
  </si>
  <si>
    <t>Wyoming</t>
  </si>
  <si>
    <t>Idaho</t>
  </si>
  <si>
    <t>Vermont</t>
  </si>
  <si>
    <t>WestVirginia</t>
  </si>
  <si>
    <t>IowaState</t>
  </si>
  <si>
    <t>Alaska</t>
  </si>
  <si>
    <t>RhodeIsland</t>
  </si>
  <si>
    <t>NewHampshire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</si>
</sst>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2"/>
  <sheetViews>
    <sheetView tabSelected="1" workbookViewId="0">
      <selection activeCell="D2" sqref="D2"/>
    </sheetView>
  </sheetViews>
  <sheetFormatPr defaultRowHeight="15"/>
  <cols>
    <col min="1" max="1" width="16.7109375" customWidth="1"/>
    <col min="2" max="3" width="7.7109375" customWidth="1"/>
    <col min="4" max="4" width="13" customWidth="1"/>
    <col min="5" max="7" width="13.7109375" customWidth="1"/>
    <col min="8" max="8" width="26.7109375" customWidth="1"/>
    <col min="9" max="9" width="24.7109375" customWidth="1"/>
    <col min="10" max="10" width="3.7109375" customWidth="1"/>
    <col min="11" max="11" width="11.7109375" customWidth="1"/>
    <col min="12" max="12" width="21.7109375" customWidth="1"/>
    <col min="13" max="13" width="15.7109375" customWidth="1"/>
    <col min="14" max="14" width="20.7109375" customWidth="1"/>
    <col min="15" max="15" width="30.7109375" customWidth="1"/>
    <col min="16" max="16" width="10.7109375" customWidth="1"/>
    <col min="17" max="17" width="24.7109375" customWidth="1"/>
    <col min="18" max="19" width="25.710937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>
        <v>278</v>
      </c>
      <c r="C2">
        <v>1256</v>
      </c>
      <c r="D2" s="2">
        <f>C2/B2</f>
        <v>4.5179856115107917</v>
      </c>
      <c r="E2">
        <v>3.6499999999999998E-2</v>
      </c>
      <c r="F2">
        <v>4.24E-2</v>
      </c>
      <c r="G2">
        <v>4.7E-2</v>
      </c>
      <c r="H2">
        <v>-2.4899999999999999E-2</v>
      </c>
      <c r="I2">
        <v>7.4999999999999997E-3</v>
      </c>
      <c r="J2">
        <v>3</v>
      </c>
      <c r="K2">
        <v>9</v>
      </c>
      <c r="L2">
        <v>232</v>
      </c>
      <c r="M2">
        <v>16</v>
      </c>
      <c r="N2" s="2">
        <f>L2/B2</f>
        <v>0.83453237410071945</v>
      </c>
      <c r="O2">
        <v>3.0575000000000001</v>
      </c>
      <c r="P2">
        <v>7</v>
      </c>
      <c r="Q2">
        <v>0.43680000000000002</v>
      </c>
      <c r="R2">
        <v>3.2162999999999999</v>
      </c>
      <c r="S2">
        <v>-9.7699999999999995E-2</v>
      </c>
    </row>
    <row r="3" spans="1:19">
      <c r="A3" t="s">
        <v>20</v>
      </c>
      <c r="B3">
        <v>99</v>
      </c>
      <c r="C3">
        <v>379</v>
      </c>
      <c r="D3" s="2">
        <f>C3/B3</f>
        <v>3.8282828282828283</v>
      </c>
      <c r="E3">
        <v>9.6799999999999997E-2</v>
      </c>
      <c r="F3">
        <v>0.1265</v>
      </c>
      <c r="G3">
        <v>0.14410000000000001</v>
      </c>
      <c r="H3">
        <v>-0.15690000000000001</v>
      </c>
      <c r="I3">
        <v>-0.13689999999999999</v>
      </c>
      <c r="J3">
        <v>3</v>
      </c>
      <c r="K3">
        <v>1</v>
      </c>
      <c r="L3">
        <v>76</v>
      </c>
      <c r="M3">
        <v>0</v>
      </c>
      <c r="N3" s="2">
        <f>L3/B3</f>
        <v>0.76767676767676762</v>
      </c>
      <c r="O3">
        <v>2.3832</v>
      </c>
      <c r="P3">
        <v>5</v>
      </c>
      <c r="Q3">
        <v>0.47660000000000002</v>
      </c>
      <c r="R3">
        <v>1.4522999999999999</v>
      </c>
      <c r="S3">
        <v>-6.6799999999999998E-2</v>
      </c>
    </row>
    <row r="4" spans="1:19">
      <c r="A4" t="s">
        <v>21</v>
      </c>
      <c r="B4">
        <v>109</v>
      </c>
      <c r="C4">
        <v>395</v>
      </c>
      <c r="D4" s="2">
        <f>C4/B4</f>
        <v>3.6238532110091741</v>
      </c>
      <c r="E4">
        <v>8.3099999999999993E-2</v>
      </c>
      <c r="F4">
        <v>9.6600000000000005E-2</v>
      </c>
      <c r="G4">
        <v>0.12189999999999999</v>
      </c>
      <c r="H4">
        <v>-1.54E-2</v>
      </c>
      <c r="I4">
        <v>-2.8799999999999999E-2</v>
      </c>
      <c r="J4">
        <v>3</v>
      </c>
      <c r="K4">
        <v>3</v>
      </c>
      <c r="L4">
        <v>82</v>
      </c>
      <c r="M4">
        <v>2</v>
      </c>
      <c r="N4" s="2">
        <f>L4/B4</f>
        <v>0.75229357798165142</v>
      </c>
      <c r="O4">
        <v>2.7341000000000002</v>
      </c>
      <c r="P4">
        <v>6</v>
      </c>
      <c r="Q4">
        <v>0.45569999999999999</v>
      </c>
      <c r="R4">
        <v>1.7658</v>
      </c>
      <c r="S4">
        <v>-0.10249999999999999</v>
      </c>
    </row>
    <row r="5" spans="1:19">
      <c r="A5" t="s">
        <v>22</v>
      </c>
      <c r="B5">
        <v>139</v>
      </c>
      <c r="C5">
        <v>482</v>
      </c>
      <c r="D5" s="2">
        <f>C5/B5</f>
        <v>3.4676258992805757</v>
      </c>
      <c r="E5">
        <v>6.2199999999999998E-2</v>
      </c>
      <c r="F5">
        <v>7.5499999999999998E-2</v>
      </c>
      <c r="G5">
        <v>8.5999999999999993E-2</v>
      </c>
      <c r="H5">
        <v>0.12970000000000001</v>
      </c>
      <c r="I5">
        <v>0.1424</v>
      </c>
      <c r="J5">
        <v>3</v>
      </c>
      <c r="K5">
        <v>4</v>
      </c>
      <c r="L5">
        <v>98</v>
      </c>
      <c r="M5">
        <v>5</v>
      </c>
      <c r="N5" s="2">
        <f>L5/B5</f>
        <v>0.70503597122302153</v>
      </c>
      <c r="O5">
        <v>2.9546000000000001</v>
      </c>
      <c r="P5">
        <v>7</v>
      </c>
      <c r="Q5">
        <v>0.42209999999999998</v>
      </c>
      <c r="R5">
        <v>2.2989999999999999</v>
      </c>
      <c r="S5">
        <v>-0.126</v>
      </c>
    </row>
    <row r="6" spans="1:19">
      <c r="A6" t="s">
        <v>23</v>
      </c>
      <c r="B6">
        <v>88</v>
      </c>
      <c r="C6">
        <v>304</v>
      </c>
      <c r="D6" s="2">
        <f>C6/B6</f>
        <v>3.4545454545454546</v>
      </c>
      <c r="E6">
        <v>9.6199999999999994E-2</v>
      </c>
      <c r="F6">
        <v>0.1162</v>
      </c>
      <c r="G6">
        <v>0.1361</v>
      </c>
      <c r="H6">
        <v>9.7199999999999995E-2</v>
      </c>
      <c r="I6">
        <v>0.1762</v>
      </c>
      <c r="J6">
        <v>3</v>
      </c>
      <c r="K6">
        <v>1</v>
      </c>
      <c r="L6">
        <v>70</v>
      </c>
      <c r="M6">
        <v>0</v>
      </c>
      <c r="N6" s="2">
        <f>L6/B6</f>
        <v>0.79545454545454541</v>
      </c>
      <c r="O6">
        <v>2.6006999999999998</v>
      </c>
      <c r="P6">
        <v>5</v>
      </c>
      <c r="Q6">
        <v>0.52010000000000001</v>
      </c>
      <c r="R6">
        <v>1.8317000000000001</v>
      </c>
      <c r="S6">
        <v>-9.6199999999999994E-2</v>
      </c>
    </row>
    <row r="7" spans="1:19">
      <c r="A7" t="s">
        <v>24</v>
      </c>
      <c r="B7">
        <v>96</v>
      </c>
      <c r="C7">
        <v>318</v>
      </c>
      <c r="D7" s="2">
        <f>C7/B7</f>
        <v>3.3125</v>
      </c>
      <c r="E7">
        <v>9.3399999999999997E-2</v>
      </c>
      <c r="F7">
        <v>0.11169999999999999</v>
      </c>
      <c r="G7">
        <v>0.1404</v>
      </c>
      <c r="H7">
        <v>0.15479999999999999</v>
      </c>
      <c r="I7">
        <v>0.16370000000000001</v>
      </c>
      <c r="J7">
        <v>3</v>
      </c>
      <c r="K7">
        <v>3</v>
      </c>
      <c r="L7">
        <v>67</v>
      </c>
      <c r="M7">
        <v>4</v>
      </c>
      <c r="N7" s="2">
        <f>L7/B7</f>
        <v>0.69791666666666663</v>
      </c>
      <c r="O7">
        <v>2.6034999999999999</v>
      </c>
      <c r="P7">
        <v>5</v>
      </c>
      <c r="Q7">
        <v>0.52070000000000005</v>
      </c>
      <c r="R7">
        <v>1.5862000000000001</v>
      </c>
      <c r="S7">
        <v>-7.9399999999999998E-2</v>
      </c>
    </row>
    <row r="8" spans="1:19">
      <c r="A8" t="s">
        <v>25</v>
      </c>
      <c r="B8">
        <v>149</v>
      </c>
      <c r="C8">
        <v>480</v>
      </c>
      <c r="D8" s="2">
        <f>C8/B8</f>
        <v>3.2214765100671139</v>
      </c>
      <c r="E8">
        <v>5.91E-2</v>
      </c>
      <c r="F8">
        <v>7.4800000000000005E-2</v>
      </c>
      <c r="G8">
        <v>8.9499999999999996E-2</v>
      </c>
      <c r="H8">
        <v>5.1400000000000001E-2</v>
      </c>
      <c r="I8">
        <v>0.20100000000000001</v>
      </c>
      <c r="J8">
        <v>3</v>
      </c>
      <c r="K8">
        <v>3</v>
      </c>
      <c r="L8">
        <v>104</v>
      </c>
      <c r="M8">
        <v>5</v>
      </c>
      <c r="N8" s="2">
        <f>L8/B8</f>
        <v>0.69798657718120805</v>
      </c>
      <c r="O8">
        <v>3.0131999999999999</v>
      </c>
      <c r="P8">
        <v>8</v>
      </c>
      <c r="Q8">
        <v>0.37669999999999998</v>
      </c>
      <c r="R8">
        <v>2.2844000000000002</v>
      </c>
      <c r="S8">
        <v>-0.1193</v>
      </c>
    </row>
    <row r="9" spans="1:19">
      <c r="A9" t="s">
        <v>26</v>
      </c>
      <c r="B9">
        <v>66</v>
      </c>
      <c r="C9">
        <v>198</v>
      </c>
      <c r="D9" s="2">
        <f>C9/B9</f>
        <v>3</v>
      </c>
      <c r="E9">
        <v>0.1333</v>
      </c>
      <c r="F9">
        <v>0.15840000000000001</v>
      </c>
      <c r="G9">
        <v>0.1797</v>
      </c>
      <c r="H9">
        <v>8.1600000000000006E-2</v>
      </c>
      <c r="I9">
        <v>0.1736</v>
      </c>
      <c r="J9">
        <v>3</v>
      </c>
      <c r="K9">
        <v>3</v>
      </c>
      <c r="L9">
        <v>48</v>
      </c>
      <c r="M9">
        <v>2</v>
      </c>
      <c r="N9" s="2">
        <f>L9/B9</f>
        <v>0.72727272727272729</v>
      </c>
      <c r="O9">
        <v>2.4136000000000002</v>
      </c>
      <c r="P9">
        <v>6</v>
      </c>
      <c r="Q9">
        <v>0.40229999999999999</v>
      </c>
      <c r="R9">
        <v>1.6936</v>
      </c>
      <c r="S9">
        <v>-9.1899999999999996E-2</v>
      </c>
    </row>
    <row r="10" spans="1:19">
      <c r="A10" t="s">
        <v>27</v>
      </c>
      <c r="B10">
        <v>169</v>
      </c>
      <c r="C10">
        <v>482</v>
      </c>
      <c r="D10" s="2">
        <f>C10/B10</f>
        <v>2.8520710059171597</v>
      </c>
      <c r="E10">
        <v>3.8899999999999997E-2</v>
      </c>
      <c r="F10">
        <v>5.4300000000000001E-2</v>
      </c>
      <c r="G10">
        <v>7.0800000000000002E-2</v>
      </c>
      <c r="H10">
        <v>-8.0000000000000004E-4</v>
      </c>
      <c r="I10">
        <v>3.8999999999999998E-3</v>
      </c>
      <c r="J10">
        <v>3</v>
      </c>
      <c r="K10">
        <v>13</v>
      </c>
      <c r="L10">
        <v>121</v>
      </c>
      <c r="M10">
        <v>18</v>
      </c>
      <c r="N10" s="2">
        <f>L10/B10</f>
        <v>0.71597633136094674</v>
      </c>
      <c r="O10">
        <v>3.1299000000000001</v>
      </c>
      <c r="P10">
        <v>7</v>
      </c>
      <c r="Q10">
        <v>0.4471</v>
      </c>
      <c r="R10">
        <v>2.3279000000000001</v>
      </c>
      <c r="S10">
        <v>-5.2900000000000003E-2</v>
      </c>
    </row>
    <row r="11" spans="1:19">
      <c r="A11" t="s">
        <v>28</v>
      </c>
      <c r="B11">
        <v>143</v>
      </c>
      <c r="C11">
        <v>382</v>
      </c>
      <c r="D11" s="2">
        <f>C11/B11</f>
        <v>2.6713286713286712</v>
      </c>
      <c r="E11">
        <v>4.5600000000000002E-2</v>
      </c>
      <c r="F11">
        <v>6.0600000000000001E-2</v>
      </c>
      <c r="G11">
        <v>7.4300000000000005E-2</v>
      </c>
      <c r="H11">
        <v>9.4000000000000004E-3</v>
      </c>
      <c r="I11">
        <v>6.5199999999999994E-2</v>
      </c>
      <c r="J11">
        <v>3</v>
      </c>
      <c r="K11">
        <v>9</v>
      </c>
      <c r="L11">
        <v>98</v>
      </c>
      <c r="M11">
        <v>13</v>
      </c>
      <c r="N11" s="2">
        <f>L11/B11</f>
        <v>0.68531468531468531</v>
      </c>
      <c r="O11">
        <v>3.2652999999999999</v>
      </c>
      <c r="P11">
        <v>8</v>
      </c>
      <c r="Q11">
        <v>0.40820000000000001</v>
      </c>
      <c r="R11">
        <v>2.5615999999999999</v>
      </c>
      <c r="S11">
        <v>-0.11799999999999999</v>
      </c>
    </row>
    <row r="12" spans="1:19">
      <c r="A12" t="s">
        <v>29</v>
      </c>
      <c r="B12">
        <v>159</v>
      </c>
      <c r="C12">
        <v>418</v>
      </c>
      <c r="D12" s="2">
        <f>C12/B12</f>
        <v>2.6289308176100628</v>
      </c>
      <c r="E12">
        <v>3.95E-2</v>
      </c>
      <c r="F12">
        <v>5.0799999999999998E-2</v>
      </c>
      <c r="G12">
        <v>6.1400000000000003E-2</v>
      </c>
      <c r="H12">
        <v>1.01E-2</v>
      </c>
      <c r="I12">
        <v>7.7799999999999994E-2</v>
      </c>
      <c r="J12">
        <v>3</v>
      </c>
      <c r="K12">
        <v>17</v>
      </c>
      <c r="L12">
        <v>116</v>
      </c>
      <c r="M12">
        <v>37</v>
      </c>
      <c r="N12" s="2">
        <f>L12/B12</f>
        <v>0.72955974842767291</v>
      </c>
      <c r="O12">
        <v>3.2357999999999998</v>
      </c>
      <c r="P12">
        <v>7</v>
      </c>
      <c r="Q12">
        <v>0.46229999999999999</v>
      </c>
      <c r="R12">
        <v>3.8818999999999999</v>
      </c>
      <c r="S12">
        <v>-7.7899999999999997E-2</v>
      </c>
    </row>
    <row r="13" spans="1:19">
      <c r="A13" t="s">
        <v>30</v>
      </c>
      <c r="B13">
        <v>76</v>
      </c>
      <c r="C13">
        <v>199</v>
      </c>
      <c r="D13" s="2">
        <f>C13/B13</f>
        <v>2.6184210526315788</v>
      </c>
      <c r="E13">
        <v>8.7400000000000005E-2</v>
      </c>
      <c r="F13">
        <v>9.9299999999999999E-2</v>
      </c>
      <c r="G13">
        <v>0.13489999999999999</v>
      </c>
      <c r="H13">
        <v>3.4599999999999999E-2</v>
      </c>
      <c r="I13">
        <v>4.4699999999999997E-2</v>
      </c>
      <c r="J13">
        <v>3</v>
      </c>
      <c r="K13">
        <v>4</v>
      </c>
      <c r="L13">
        <v>50</v>
      </c>
      <c r="M13">
        <v>0</v>
      </c>
      <c r="N13" s="2">
        <f>L13/B13</f>
        <v>0.65789473684210531</v>
      </c>
      <c r="O13">
        <v>2.964</v>
      </c>
      <c r="P13">
        <v>7</v>
      </c>
      <c r="Q13">
        <v>0.4234</v>
      </c>
      <c r="R13">
        <v>1.8606</v>
      </c>
      <c r="S13">
        <v>-0.13139999999999999</v>
      </c>
    </row>
    <row r="14" spans="1:19">
      <c r="A14" t="s">
        <v>31</v>
      </c>
      <c r="B14">
        <v>77</v>
      </c>
      <c r="C14">
        <v>189</v>
      </c>
      <c r="D14" s="2">
        <f>C14/B14</f>
        <v>2.4545454545454546</v>
      </c>
      <c r="E14">
        <v>7.1900000000000006E-2</v>
      </c>
      <c r="F14">
        <v>0.1023</v>
      </c>
      <c r="G14">
        <v>0.14149999999999999</v>
      </c>
      <c r="H14">
        <v>-0.33069999999999999</v>
      </c>
      <c r="I14">
        <v>-0.25640000000000002</v>
      </c>
      <c r="J14">
        <v>3</v>
      </c>
      <c r="K14">
        <v>5</v>
      </c>
      <c r="L14">
        <v>55</v>
      </c>
      <c r="M14">
        <v>4</v>
      </c>
      <c r="N14" s="2">
        <f>L14/B14</f>
        <v>0.7142857142857143</v>
      </c>
      <c r="O14">
        <v>2.7288999999999999</v>
      </c>
      <c r="P14">
        <v>6</v>
      </c>
      <c r="Q14">
        <v>0.45479999999999998</v>
      </c>
      <c r="R14">
        <v>1.4094</v>
      </c>
      <c r="S14">
        <v>-8.6599999999999996E-2</v>
      </c>
    </row>
    <row r="15" spans="1:19">
      <c r="A15" t="s">
        <v>32</v>
      </c>
      <c r="B15">
        <v>215</v>
      </c>
      <c r="C15">
        <v>526</v>
      </c>
      <c r="D15" s="2">
        <f>C15/B15</f>
        <v>2.4465116279069767</v>
      </c>
      <c r="E15">
        <v>2.9600000000000001E-2</v>
      </c>
      <c r="F15">
        <v>3.9600000000000003E-2</v>
      </c>
      <c r="G15">
        <v>5.4699999999999999E-2</v>
      </c>
      <c r="H15">
        <v>0.1226</v>
      </c>
      <c r="I15">
        <v>5.5E-2</v>
      </c>
      <c r="J15">
        <v>3</v>
      </c>
      <c r="K15">
        <v>10</v>
      </c>
      <c r="L15">
        <v>141</v>
      </c>
      <c r="M15">
        <v>12</v>
      </c>
      <c r="N15" s="2">
        <f>L15/B15</f>
        <v>0.65581395348837213</v>
      </c>
      <c r="O15">
        <v>3.5392999999999999</v>
      </c>
      <c r="P15">
        <v>8</v>
      </c>
      <c r="Q15">
        <v>0.44240000000000002</v>
      </c>
      <c r="R15">
        <v>3.7753999999999999</v>
      </c>
      <c r="S15">
        <v>-0.12509999999999999</v>
      </c>
    </row>
    <row r="16" spans="1:19">
      <c r="A16" t="s">
        <v>33</v>
      </c>
      <c r="B16">
        <v>121</v>
      </c>
      <c r="C16">
        <v>296</v>
      </c>
      <c r="D16" s="2">
        <f>C16/B16</f>
        <v>2.446280991735537</v>
      </c>
      <c r="E16">
        <v>5.4199999999999998E-2</v>
      </c>
      <c r="F16">
        <v>7.3099999999999998E-2</v>
      </c>
      <c r="G16">
        <v>9.4799999999999995E-2</v>
      </c>
      <c r="H16">
        <v>0.03</v>
      </c>
      <c r="I16">
        <v>-2.24E-2</v>
      </c>
      <c r="J16">
        <v>3</v>
      </c>
      <c r="K16">
        <v>7</v>
      </c>
      <c r="L16">
        <v>82</v>
      </c>
      <c r="M16">
        <v>7</v>
      </c>
      <c r="N16" s="2">
        <f>L16/B16</f>
        <v>0.6776859504132231</v>
      </c>
      <c r="O16">
        <v>3.0541</v>
      </c>
      <c r="P16">
        <v>6</v>
      </c>
      <c r="Q16">
        <v>0.50900000000000001</v>
      </c>
      <c r="R16">
        <v>2.14</v>
      </c>
      <c r="S16">
        <v>-7.5600000000000001E-2</v>
      </c>
    </row>
    <row r="17" spans="1:19">
      <c r="A17" t="s">
        <v>34</v>
      </c>
      <c r="B17">
        <v>30</v>
      </c>
      <c r="C17">
        <v>69</v>
      </c>
      <c r="D17" s="2">
        <f>C17/B17</f>
        <v>2.2999999999999998</v>
      </c>
      <c r="E17">
        <v>0.23</v>
      </c>
      <c r="F17">
        <v>0.33679999999999999</v>
      </c>
      <c r="G17">
        <v>0.43380000000000002</v>
      </c>
      <c r="H17">
        <v>-0.1462</v>
      </c>
      <c r="I17">
        <v>6.6799999999999998E-2</v>
      </c>
      <c r="J17">
        <v>3</v>
      </c>
      <c r="K17">
        <v>1</v>
      </c>
      <c r="L17">
        <v>19</v>
      </c>
      <c r="M17">
        <v>0</v>
      </c>
      <c r="N17" s="2">
        <f>L17/B17</f>
        <v>0.6333333333333333</v>
      </c>
      <c r="O17">
        <v>2.2166999999999999</v>
      </c>
      <c r="P17">
        <v>5</v>
      </c>
      <c r="Q17">
        <v>0.44330000000000003</v>
      </c>
      <c r="R17">
        <v>1.1466000000000001</v>
      </c>
      <c r="S17">
        <v>-8.5699999999999998E-2</v>
      </c>
    </row>
    <row r="18" spans="1:19">
      <c r="A18" t="s">
        <v>35</v>
      </c>
      <c r="B18">
        <v>52</v>
      </c>
      <c r="C18">
        <v>111</v>
      </c>
      <c r="D18" s="2">
        <f>C18/B18</f>
        <v>2.1346153846153846</v>
      </c>
      <c r="E18">
        <v>0.11210000000000001</v>
      </c>
      <c r="F18">
        <v>0.16350000000000001</v>
      </c>
      <c r="G18">
        <v>0.20430000000000001</v>
      </c>
      <c r="H18">
        <v>5.1799999999999999E-2</v>
      </c>
      <c r="I18">
        <v>8.8200000000000001E-2</v>
      </c>
      <c r="J18">
        <v>3</v>
      </c>
      <c r="K18">
        <v>1</v>
      </c>
      <c r="L18">
        <v>30</v>
      </c>
      <c r="M18">
        <v>0</v>
      </c>
      <c r="N18" s="2">
        <f>L18/B18</f>
        <v>0.57692307692307687</v>
      </c>
      <c r="O18">
        <v>2.5127999999999999</v>
      </c>
      <c r="P18">
        <v>5</v>
      </c>
      <c r="Q18">
        <v>0.50260000000000005</v>
      </c>
      <c r="R18">
        <v>1.7571000000000001</v>
      </c>
      <c r="S18">
        <v>-6.7599999999999993E-2</v>
      </c>
    </row>
    <row r="19" spans="1:19">
      <c r="A19" t="s">
        <v>36</v>
      </c>
      <c r="B19">
        <v>117</v>
      </c>
      <c r="C19">
        <v>238</v>
      </c>
      <c r="D19" s="2">
        <f>C19/B19</f>
        <v>2.0341880341880341</v>
      </c>
      <c r="E19">
        <v>4.0399999999999998E-2</v>
      </c>
      <c r="F19">
        <v>5.7200000000000001E-2</v>
      </c>
      <c r="G19">
        <v>7.8399999999999997E-2</v>
      </c>
      <c r="H19">
        <v>-3.0499999999999999E-2</v>
      </c>
      <c r="I19">
        <v>-1.8599999999999998E-2</v>
      </c>
      <c r="J19">
        <v>3</v>
      </c>
      <c r="K19">
        <v>16</v>
      </c>
      <c r="L19">
        <v>70</v>
      </c>
      <c r="M19">
        <v>18</v>
      </c>
      <c r="N19" s="2">
        <f>L19/B19</f>
        <v>0.59829059829059827</v>
      </c>
      <c r="O19">
        <v>3.4887999999999999</v>
      </c>
      <c r="P19">
        <v>7</v>
      </c>
      <c r="Q19">
        <v>0.49840000000000001</v>
      </c>
      <c r="R19">
        <v>2.4581</v>
      </c>
      <c r="S19">
        <v>-8.5699999999999998E-2</v>
      </c>
    </row>
    <row r="20" spans="1:19">
      <c r="A20" t="s">
        <v>37</v>
      </c>
      <c r="B20">
        <v>69</v>
      </c>
      <c r="C20">
        <v>140</v>
      </c>
      <c r="D20" s="2">
        <f>C20/B20</f>
        <v>2.0289855072463769</v>
      </c>
      <c r="E20">
        <v>6.9400000000000003E-2</v>
      </c>
      <c r="F20">
        <v>8.6400000000000005E-2</v>
      </c>
      <c r="G20">
        <v>0.1111</v>
      </c>
      <c r="H20">
        <v>0.1019</v>
      </c>
      <c r="I20">
        <v>0.151</v>
      </c>
      <c r="J20">
        <v>3</v>
      </c>
      <c r="K20">
        <v>7</v>
      </c>
      <c r="L20">
        <v>51</v>
      </c>
      <c r="M20">
        <v>5</v>
      </c>
      <c r="N20" s="2">
        <f>L20/B20</f>
        <v>0.73913043478260865</v>
      </c>
      <c r="O20">
        <v>3.2025000000000001</v>
      </c>
      <c r="P20">
        <v>7</v>
      </c>
      <c r="Q20">
        <v>0.45750000000000002</v>
      </c>
      <c r="R20">
        <v>4.1252000000000004</v>
      </c>
      <c r="S20">
        <v>-9.6799999999999997E-2</v>
      </c>
    </row>
    <row r="21" spans="1:19">
      <c r="A21" t="s">
        <v>38</v>
      </c>
      <c r="B21">
        <v>137</v>
      </c>
      <c r="C21">
        <v>271</v>
      </c>
      <c r="D21" s="2">
        <f>C21/B21</f>
        <v>1.9781021897810218</v>
      </c>
      <c r="E21">
        <v>3.61E-2</v>
      </c>
      <c r="F21">
        <v>4.7399999999999998E-2</v>
      </c>
      <c r="G21">
        <v>6.2199999999999998E-2</v>
      </c>
      <c r="H21">
        <v>1.7999999999999999E-2</v>
      </c>
      <c r="I21">
        <v>0.20569999999999999</v>
      </c>
      <c r="J21">
        <v>3</v>
      </c>
      <c r="K21">
        <v>14</v>
      </c>
      <c r="L21">
        <v>71</v>
      </c>
      <c r="M21">
        <v>14</v>
      </c>
      <c r="N21" s="2">
        <f>L21/B21</f>
        <v>0.51824817518248179</v>
      </c>
      <c r="O21">
        <v>3.9352</v>
      </c>
      <c r="P21">
        <v>9</v>
      </c>
      <c r="Q21">
        <v>0.43719999999999998</v>
      </c>
      <c r="R21">
        <v>5.1334999999999997</v>
      </c>
      <c r="S21">
        <v>-0.17760000000000001</v>
      </c>
    </row>
    <row r="22" spans="1:19">
      <c r="A22" t="s">
        <v>39</v>
      </c>
      <c r="B22">
        <v>42</v>
      </c>
      <c r="C22">
        <v>74</v>
      </c>
      <c r="D22" s="2">
        <f>C22/B22</f>
        <v>1.7619047619047619</v>
      </c>
      <c r="E22">
        <v>0.11749999999999999</v>
      </c>
      <c r="F22">
        <v>0.1484</v>
      </c>
      <c r="G22">
        <v>0.22939999999999999</v>
      </c>
      <c r="H22">
        <v>-0.26150000000000001</v>
      </c>
      <c r="I22">
        <v>-0.11269999999999999</v>
      </c>
      <c r="J22">
        <v>3</v>
      </c>
      <c r="K22">
        <v>3</v>
      </c>
      <c r="L22">
        <v>27</v>
      </c>
      <c r="M22">
        <v>2</v>
      </c>
      <c r="N22" s="2">
        <f>L22/B22</f>
        <v>0.6428571428571429</v>
      </c>
      <c r="O22">
        <v>2.8508</v>
      </c>
      <c r="P22">
        <v>7</v>
      </c>
      <c r="Q22">
        <v>0.4073</v>
      </c>
      <c r="R22">
        <v>1.7918000000000001</v>
      </c>
      <c r="S22">
        <v>-0.13389999999999999</v>
      </c>
    </row>
    <row r="23" spans="1:19">
      <c r="A23" t="s">
        <v>40</v>
      </c>
      <c r="B23">
        <v>82</v>
      </c>
      <c r="C23">
        <v>144</v>
      </c>
      <c r="D23" s="2">
        <f>C23/B23</f>
        <v>1.7560975609756098</v>
      </c>
      <c r="E23">
        <v>5.6300000000000003E-2</v>
      </c>
      <c r="F23">
        <v>8.8700000000000001E-2</v>
      </c>
      <c r="G23">
        <v>0.1173</v>
      </c>
      <c r="H23">
        <v>-2.7900000000000001E-2</v>
      </c>
      <c r="I23">
        <v>5.62E-2</v>
      </c>
      <c r="J23">
        <v>3</v>
      </c>
      <c r="K23">
        <v>7</v>
      </c>
      <c r="L23">
        <v>43</v>
      </c>
      <c r="M23">
        <v>6</v>
      </c>
      <c r="N23" s="2">
        <f>L23/B23</f>
        <v>0.52439024390243905</v>
      </c>
      <c r="O23">
        <v>3.4624999999999999</v>
      </c>
      <c r="P23">
        <v>9</v>
      </c>
      <c r="Q23">
        <v>0.38469999999999999</v>
      </c>
      <c r="R23">
        <v>2.98</v>
      </c>
      <c r="S23">
        <v>-9.2999999999999999E-2</v>
      </c>
    </row>
    <row r="24" spans="1:19">
      <c r="A24" t="s">
        <v>41</v>
      </c>
      <c r="B24">
        <v>47</v>
      </c>
      <c r="C24">
        <v>81</v>
      </c>
      <c r="D24" s="2">
        <f>C24/B24</f>
        <v>1.7234042553191489</v>
      </c>
      <c r="E24">
        <v>9.4100000000000003E-2</v>
      </c>
      <c r="F24">
        <v>0.1431</v>
      </c>
      <c r="G24">
        <v>0.1933</v>
      </c>
      <c r="H24">
        <v>-0.14879999999999999</v>
      </c>
      <c r="I24">
        <v>0.12909999999999999</v>
      </c>
      <c r="J24">
        <v>3</v>
      </c>
      <c r="K24">
        <v>5</v>
      </c>
      <c r="L24">
        <v>25</v>
      </c>
      <c r="M24">
        <v>3</v>
      </c>
      <c r="N24" s="2">
        <f>L24/B24</f>
        <v>0.53191489361702127</v>
      </c>
      <c r="O24">
        <v>3.0394999999999999</v>
      </c>
      <c r="P24">
        <v>6</v>
      </c>
      <c r="Q24">
        <v>0.50660000000000005</v>
      </c>
      <c r="R24">
        <v>2.4601000000000002</v>
      </c>
      <c r="S24">
        <v>-8.5400000000000004E-2</v>
      </c>
    </row>
    <row r="25" spans="1:19">
      <c r="A25" t="s">
        <v>42</v>
      </c>
      <c r="B25">
        <v>50</v>
      </c>
      <c r="C25">
        <v>85</v>
      </c>
      <c r="D25" s="2">
        <f>C25/B25</f>
        <v>1.7</v>
      </c>
      <c r="E25">
        <v>8.9899999999999994E-2</v>
      </c>
      <c r="F25">
        <v>0.1439</v>
      </c>
      <c r="G25">
        <v>0.221</v>
      </c>
      <c r="H25">
        <v>-9.98E-2</v>
      </c>
      <c r="I25">
        <v>0.1139</v>
      </c>
      <c r="J25">
        <v>3</v>
      </c>
      <c r="K25">
        <v>4</v>
      </c>
      <c r="L25">
        <v>26</v>
      </c>
      <c r="M25">
        <v>5</v>
      </c>
      <c r="N25" s="2">
        <f>L25/B25</f>
        <v>0.52</v>
      </c>
      <c r="O25">
        <v>2.7923</v>
      </c>
      <c r="P25">
        <v>6</v>
      </c>
      <c r="Q25">
        <v>0.46539999999999998</v>
      </c>
      <c r="R25">
        <v>1.373</v>
      </c>
      <c r="S25">
        <v>-3.3500000000000002E-2</v>
      </c>
    </row>
    <row r="26" spans="1:19">
      <c r="A26" t="s">
        <v>43</v>
      </c>
      <c r="B26">
        <v>31</v>
      </c>
      <c r="C26">
        <v>52</v>
      </c>
      <c r="D26" s="2">
        <f>C26/B26</f>
        <v>1.6774193548387097</v>
      </c>
      <c r="E26">
        <v>0.17330000000000001</v>
      </c>
      <c r="F26">
        <v>0.2016</v>
      </c>
      <c r="G26">
        <v>0.27450000000000002</v>
      </c>
      <c r="H26">
        <v>-6.7799999999999999E-2</v>
      </c>
      <c r="I26">
        <v>0.55669999999999997</v>
      </c>
      <c r="J26">
        <v>3</v>
      </c>
      <c r="K26">
        <v>5</v>
      </c>
      <c r="L26">
        <v>18</v>
      </c>
      <c r="M26">
        <v>6</v>
      </c>
      <c r="N26" s="2">
        <f>L26/B26</f>
        <v>0.58064516129032262</v>
      </c>
      <c r="O26">
        <v>2.1897000000000002</v>
      </c>
      <c r="P26">
        <v>4</v>
      </c>
      <c r="Q26">
        <v>0.5474</v>
      </c>
      <c r="R26">
        <v>1.1309</v>
      </c>
      <c r="S26">
        <v>5.2900000000000003E-2</v>
      </c>
    </row>
    <row r="27" spans="1:19">
      <c r="A27" t="s">
        <v>44</v>
      </c>
      <c r="B27">
        <v>81</v>
      </c>
      <c r="C27">
        <v>113</v>
      </c>
      <c r="D27" s="2">
        <f>C27/B27</f>
        <v>1.3950617283950617</v>
      </c>
      <c r="E27">
        <v>5.2699999999999997E-2</v>
      </c>
      <c r="F27">
        <v>8.3299999999999999E-2</v>
      </c>
      <c r="G27">
        <v>0.13370000000000001</v>
      </c>
      <c r="H27">
        <v>0.22789999999999999</v>
      </c>
      <c r="I27">
        <v>0.41620000000000001</v>
      </c>
      <c r="J27">
        <v>3</v>
      </c>
      <c r="K27">
        <v>10</v>
      </c>
      <c r="L27">
        <v>32</v>
      </c>
      <c r="M27">
        <v>9</v>
      </c>
      <c r="N27" s="2">
        <f>L27/B27</f>
        <v>0.39506172839506171</v>
      </c>
      <c r="O27">
        <v>3.8469000000000002</v>
      </c>
      <c r="P27">
        <v>9</v>
      </c>
      <c r="Q27">
        <v>0.4274</v>
      </c>
      <c r="R27">
        <v>2.3325</v>
      </c>
      <c r="S27">
        <v>-0.20399999999999999</v>
      </c>
    </row>
    <row r="28" spans="1:19">
      <c r="A28" t="s">
        <v>45</v>
      </c>
      <c r="B28">
        <v>41</v>
      </c>
      <c r="C28">
        <v>55</v>
      </c>
      <c r="D28" s="2">
        <f>C28/B28</f>
        <v>1.3414634146341464</v>
      </c>
      <c r="E28">
        <v>0.1109</v>
      </c>
      <c r="F28">
        <v>0.17030000000000001</v>
      </c>
      <c r="G28">
        <v>0.24179999999999999</v>
      </c>
      <c r="H28">
        <v>2.64E-2</v>
      </c>
      <c r="I28">
        <v>0.111</v>
      </c>
      <c r="J28">
        <v>3</v>
      </c>
      <c r="K28">
        <v>4</v>
      </c>
      <c r="L28">
        <v>19</v>
      </c>
      <c r="M28">
        <v>3</v>
      </c>
      <c r="N28" s="2">
        <f>L28/B28</f>
        <v>0.46341463414634149</v>
      </c>
      <c r="O28">
        <v>3.2399</v>
      </c>
      <c r="P28">
        <v>8</v>
      </c>
      <c r="Q28">
        <v>0.40500000000000003</v>
      </c>
      <c r="R28">
        <v>1.9581</v>
      </c>
      <c r="S28">
        <v>-0.1014</v>
      </c>
    </row>
    <row r="29" spans="1:19">
      <c r="A29" t="s">
        <v>46</v>
      </c>
      <c r="B29">
        <v>50</v>
      </c>
      <c r="C29">
        <v>66</v>
      </c>
      <c r="D29" s="2">
        <f>C29/B29</f>
        <v>1.32</v>
      </c>
      <c r="E29">
        <v>8.0500000000000002E-2</v>
      </c>
      <c r="F29">
        <v>0.13550000000000001</v>
      </c>
      <c r="G29">
        <v>0.1948</v>
      </c>
      <c r="H29">
        <v>2.0000000000000001E-4</v>
      </c>
      <c r="I29">
        <v>-2E-3</v>
      </c>
      <c r="J29">
        <v>3</v>
      </c>
      <c r="K29">
        <v>5</v>
      </c>
      <c r="L29">
        <v>27</v>
      </c>
      <c r="M29">
        <v>3</v>
      </c>
      <c r="N29" s="2">
        <f>L29/B29</f>
        <v>0.54</v>
      </c>
      <c r="O29">
        <v>3.0605000000000002</v>
      </c>
      <c r="P29">
        <v>7</v>
      </c>
      <c r="Q29">
        <v>0.43719999999999998</v>
      </c>
      <c r="R29">
        <v>2.1735000000000002</v>
      </c>
      <c r="S29">
        <v>-9.5299999999999996E-2</v>
      </c>
    </row>
    <row r="30" spans="1:19">
      <c r="A30" t="s">
        <v>47</v>
      </c>
      <c r="B30">
        <v>74</v>
      </c>
      <c r="C30">
        <v>94</v>
      </c>
      <c r="D30" s="2">
        <f>C30/B30</f>
        <v>1.2702702702702702</v>
      </c>
      <c r="E30">
        <v>6.3299999999999995E-2</v>
      </c>
      <c r="F30">
        <v>0.1186</v>
      </c>
      <c r="G30">
        <v>0.17949999999999999</v>
      </c>
      <c r="H30">
        <v>0.23980000000000001</v>
      </c>
      <c r="I30">
        <v>0.08</v>
      </c>
      <c r="J30">
        <v>3</v>
      </c>
      <c r="K30">
        <v>7</v>
      </c>
      <c r="L30">
        <v>23</v>
      </c>
      <c r="M30">
        <v>4</v>
      </c>
      <c r="N30" s="2">
        <f>L30/B30</f>
        <v>0.3108108108108108</v>
      </c>
      <c r="O30">
        <v>3.7071999999999998</v>
      </c>
      <c r="P30">
        <v>9</v>
      </c>
      <c r="Q30">
        <v>0.41189999999999999</v>
      </c>
      <c r="R30">
        <v>2.3784000000000001</v>
      </c>
      <c r="S30">
        <v>-0.2205</v>
      </c>
    </row>
    <row r="31" spans="1:19">
      <c r="A31" t="s">
        <v>48</v>
      </c>
      <c r="B31">
        <v>53</v>
      </c>
      <c r="C31">
        <v>64</v>
      </c>
      <c r="D31" s="2">
        <f>C31/B31</f>
        <v>1.2075471698113207</v>
      </c>
      <c r="E31">
        <v>8.2100000000000006E-2</v>
      </c>
      <c r="F31">
        <v>0.1183</v>
      </c>
      <c r="G31">
        <v>0.1857</v>
      </c>
      <c r="H31">
        <v>-0.14580000000000001</v>
      </c>
      <c r="I31">
        <v>0.51849999999999996</v>
      </c>
      <c r="J31">
        <v>3</v>
      </c>
      <c r="K31">
        <v>9</v>
      </c>
      <c r="L31">
        <v>14</v>
      </c>
      <c r="M31">
        <v>6</v>
      </c>
      <c r="N31" s="2">
        <f>L31/B31</f>
        <v>0.26415094339622641</v>
      </c>
      <c r="O31">
        <v>3.2086999999999999</v>
      </c>
      <c r="P31">
        <v>6</v>
      </c>
      <c r="Q31">
        <v>0.53480000000000005</v>
      </c>
      <c r="R31">
        <v>1.6931</v>
      </c>
      <c r="S31">
        <v>-5.3600000000000002E-2</v>
      </c>
    </row>
    <row r="32" spans="1:19">
      <c r="A32" t="s">
        <v>49</v>
      </c>
      <c r="B32">
        <v>178</v>
      </c>
      <c r="C32">
        <v>208</v>
      </c>
      <c r="D32" s="2">
        <f>C32/B32</f>
        <v>1.1685393258426966</v>
      </c>
      <c r="E32">
        <v>2.8199999999999999E-2</v>
      </c>
      <c r="F32">
        <v>4.7300000000000002E-2</v>
      </c>
      <c r="G32">
        <v>7.7399999999999997E-2</v>
      </c>
      <c r="H32">
        <v>-1.5900000000000001E-2</v>
      </c>
      <c r="I32">
        <v>-6.8999999999999999E-3</v>
      </c>
      <c r="J32">
        <v>3</v>
      </c>
      <c r="K32">
        <v>15</v>
      </c>
      <c r="L32">
        <v>63</v>
      </c>
      <c r="M32">
        <v>16</v>
      </c>
      <c r="N32" s="2">
        <f>L32/B32</f>
        <v>0.3539325842696629</v>
      </c>
      <c r="O32">
        <v>4.2691999999999997</v>
      </c>
      <c r="P32">
        <v>11</v>
      </c>
      <c r="Q32">
        <v>0.3881</v>
      </c>
      <c r="R32">
        <v>4.3990999999999998</v>
      </c>
      <c r="S32">
        <v>-0.19</v>
      </c>
    </row>
    <row r="33" spans="1:19">
      <c r="A33" t="s">
        <v>50</v>
      </c>
      <c r="B33">
        <v>29</v>
      </c>
      <c r="C33">
        <v>33</v>
      </c>
      <c r="D33" s="2">
        <f>C33/B33</f>
        <v>1.1379310344827587</v>
      </c>
      <c r="E33">
        <v>0.1429</v>
      </c>
      <c r="F33">
        <v>0.2132</v>
      </c>
      <c r="G33">
        <v>0.30299999999999999</v>
      </c>
      <c r="H33">
        <v>-8.7800000000000003E-2</v>
      </c>
      <c r="I33">
        <v>5.3499999999999999E-2</v>
      </c>
      <c r="J33">
        <v>3</v>
      </c>
      <c r="K33">
        <v>5</v>
      </c>
      <c r="L33">
        <v>16</v>
      </c>
      <c r="M33">
        <v>3</v>
      </c>
      <c r="N33" s="2">
        <f>L33/B33</f>
        <v>0.55172413793103448</v>
      </c>
      <c r="O33">
        <v>2.6526000000000001</v>
      </c>
      <c r="P33">
        <v>5</v>
      </c>
      <c r="Q33">
        <v>0.53049999999999997</v>
      </c>
      <c r="R33">
        <v>1.8233999999999999</v>
      </c>
      <c r="S33">
        <v>-0.1012</v>
      </c>
    </row>
    <row r="34" spans="1:19">
      <c r="A34" t="s">
        <v>51</v>
      </c>
      <c r="B34">
        <v>18</v>
      </c>
      <c r="C34">
        <v>20</v>
      </c>
      <c r="D34" s="2">
        <f>C34/B34</f>
        <v>1.1111111111111112</v>
      </c>
      <c r="E34">
        <v>0.25640000000000002</v>
      </c>
      <c r="F34">
        <v>0.4</v>
      </c>
      <c r="G34">
        <v>0.47220000000000001</v>
      </c>
      <c r="H34">
        <v>0.5635</v>
      </c>
      <c r="I34">
        <v>-5.67E-2</v>
      </c>
      <c r="J34">
        <v>3</v>
      </c>
      <c r="K34">
        <v>2</v>
      </c>
      <c r="L34">
        <v>9</v>
      </c>
      <c r="M34">
        <v>1</v>
      </c>
      <c r="N34" s="2">
        <f>L34/B34</f>
        <v>0.5</v>
      </c>
      <c r="O34">
        <v>2.2545000000000002</v>
      </c>
      <c r="P34">
        <v>5</v>
      </c>
      <c r="Q34">
        <v>0.45090000000000002</v>
      </c>
      <c r="R34">
        <v>1.8827</v>
      </c>
      <c r="S34">
        <v>-0.1895</v>
      </c>
    </row>
    <row r="35" spans="1:19">
      <c r="A35" t="s">
        <v>52</v>
      </c>
      <c r="B35">
        <v>35</v>
      </c>
      <c r="C35">
        <v>38</v>
      </c>
      <c r="D35" s="2">
        <f>C35/B35</f>
        <v>1.0857142857142856</v>
      </c>
      <c r="E35">
        <v>0.12670000000000001</v>
      </c>
      <c r="F35">
        <v>0.2092</v>
      </c>
      <c r="G35">
        <v>0.36359999999999998</v>
      </c>
      <c r="H35">
        <v>7.46E-2</v>
      </c>
      <c r="I35">
        <v>0.54679999999999995</v>
      </c>
      <c r="J35">
        <v>3</v>
      </c>
      <c r="K35">
        <v>3</v>
      </c>
      <c r="L35">
        <v>14</v>
      </c>
      <c r="M35">
        <v>2</v>
      </c>
      <c r="N35" s="2">
        <f>L35/B35</f>
        <v>0.4</v>
      </c>
      <c r="O35">
        <v>2.8260999999999998</v>
      </c>
      <c r="P35">
        <v>6</v>
      </c>
      <c r="Q35">
        <v>0.47099999999999997</v>
      </c>
      <c r="R35">
        <v>2.1823000000000001</v>
      </c>
      <c r="S35">
        <v>-7.1300000000000002E-2</v>
      </c>
    </row>
    <row r="36" spans="1:19">
      <c r="A36" t="s">
        <v>53</v>
      </c>
      <c r="B36">
        <v>59</v>
      </c>
      <c r="C36">
        <v>64</v>
      </c>
      <c r="D36" s="2">
        <f>C36/B36</f>
        <v>1.0847457627118644</v>
      </c>
      <c r="E36">
        <v>5.2200000000000003E-2</v>
      </c>
      <c r="F36">
        <v>9.4500000000000001E-2</v>
      </c>
      <c r="G36">
        <v>0.15240000000000001</v>
      </c>
      <c r="H36">
        <v>0.28460000000000002</v>
      </c>
      <c r="I36">
        <v>0.25230000000000002</v>
      </c>
      <c r="J36">
        <v>3</v>
      </c>
      <c r="K36">
        <v>6</v>
      </c>
      <c r="L36">
        <v>9</v>
      </c>
      <c r="M36">
        <v>2</v>
      </c>
      <c r="N36" s="2">
        <f>L36/B36</f>
        <v>0.15254237288135594</v>
      </c>
      <c r="O36">
        <v>3.2332999999999998</v>
      </c>
      <c r="P36">
        <v>7</v>
      </c>
      <c r="Q36">
        <v>0.46189999999999998</v>
      </c>
      <c r="R36">
        <v>1.8307</v>
      </c>
      <c r="S36">
        <v>1.89E-2</v>
      </c>
    </row>
    <row r="37" spans="1:19">
      <c r="A37" t="s">
        <v>54</v>
      </c>
      <c r="B37">
        <v>48</v>
      </c>
      <c r="C37">
        <v>51</v>
      </c>
      <c r="D37" s="2">
        <f>C37/B37</f>
        <v>1.0625</v>
      </c>
      <c r="E37">
        <v>8.1000000000000003E-2</v>
      </c>
      <c r="F37">
        <v>0.1323</v>
      </c>
      <c r="G37">
        <v>0.20830000000000001</v>
      </c>
      <c r="H37">
        <v>0.1353</v>
      </c>
      <c r="I37">
        <v>0.52380000000000004</v>
      </c>
      <c r="J37">
        <v>3</v>
      </c>
      <c r="K37">
        <v>5</v>
      </c>
      <c r="L37">
        <v>9</v>
      </c>
      <c r="M37">
        <v>0</v>
      </c>
      <c r="N37" s="2">
        <f>L37/B37</f>
        <v>0.1875</v>
      </c>
      <c r="O37">
        <v>3.5847000000000002</v>
      </c>
      <c r="P37">
        <v>9</v>
      </c>
      <c r="Q37">
        <v>0.39829999999999999</v>
      </c>
      <c r="R37">
        <v>2.1073</v>
      </c>
      <c r="S37">
        <v>-0.21440000000000001</v>
      </c>
    </row>
    <row r="38" spans="1:19">
      <c r="A38" t="s">
        <v>55</v>
      </c>
      <c r="B38">
        <v>71</v>
      </c>
      <c r="C38">
        <v>75</v>
      </c>
      <c r="D38" s="2">
        <f>C38/B38</f>
        <v>1.056338028169014</v>
      </c>
      <c r="E38">
        <v>4.3799999999999999E-2</v>
      </c>
      <c r="F38">
        <v>7.6899999999999996E-2</v>
      </c>
      <c r="G38">
        <v>0.13039999999999999</v>
      </c>
      <c r="H38">
        <v>-2.1299999999999999E-2</v>
      </c>
      <c r="I38">
        <v>7.6999999999999999E-2</v>
      </c>
      <c r="J38">
        <v>3</v>
      </c>
      <c r="K38">
        <v>8</v>
      </c>
      <c r="L38">
        <v>14</v>
      </c>
      <c r="M38">
        <v>3</v>
      </c>
      <c r="N38" s="2">
        <f>L38/B38</f>
        <v>0.19718309859154928</v>
      </c>
      <c r="O38">
        <v>4.6675000000000004</v>
      </c>
      <c r="P38">
        <v>12</v>
      </c>
      <c r="Q38">
        <v>0.38900000000000001</v>
      </c>
      <c r="R38">
        <v>3.3334999999999999</v>
      </c>
      <c r="S38">
        <v>-0.21929999999999999</v>
      </c>
    </row>
    <row r="39" spans="1:19">
      <c r="A39" t="s">
        <v>56</v>
      </c>
      <c r="B39">
        <v>52</v>
      </c>
      <c r="C39">
        <v>54</v>
      </c>
      <c r="D39" s="2">
        <f>C39/B39</f>
        <v>1.0384615384615385</v>
      </c>
      <c r="E39">
        <v>5.7099999999999998E-2</v>
      </c>
      <c r="F39">
        <v>0.1168</v>
      </c>
      <c r="G39">
        <v>0.28789999999999999</v>
      </c>
      <c r="H39">
        <v>0.1855</v>
      </c>
      <c r="I39">
        <v>7.3800000000000004E-2</v>
      </c>
      <c r="J39">
        <v>3</v>
      </c>
      <c r="K39">
        <v>4</v>
      </c>
      <c r="L39">
        <v>12</v>
      </c>
      <c r="M39">
        <v>1</v>
      </c>
      <c r="N39" s="2">
        <f>L39/B39</f>
        <v>0.23076923076923078</v>
      </c>
      <c r="O39">
        <v>3.2562000000000002</v>
      </c>
      <c r="P39">
        <v>7</v>
      </c>
      <c r="Q39">
        <v>0.4652</v>
      </c>
      <c r="R39">
        <v>1.6204000000000001</v>
      </c>
      <c r="S39">
        <v>-9.6799999999999997E-2</v>
      </c>
    </row>
    <row r="40" spans="1:19">
      <c r="A40" t="s">
        <v>57</v>
      </c>
      <c r="B40">
        <v>39</v>
      </c>
      <c r="C40">
        <v>36</v>
      </c>
      <c r="D40" s="2">
        <f>C40/B40</f>
        <v>0.92307692307692313</v>
      </c>
      <c r="E40">
        <v>7.7399999999999997E-2</v>
      </c>
      <c r="F40">
        <v>0.20830000000000001</v>
      </c>
      <c r="G40">
        <v>0.25269999999999998</v>
      </c>
      <c r="H40">
        <v>0.38750000000000001</v>
      </c>
      <c r="I40">
        <v>0.17419999999999999</v>
      </c>
      <c r="J40">
        <v>3</v>
      </c>
      <c r="K40">
        <v>2</v>
      </c>
      <c r="L40">
        <v>8</v>
      </c>
      <c r="M40">
        <v>0</v>
      </c>
      <c r="N40" s="2">
        <f>L40/B40</f>
        <v>0.20512820512820512</v>
      </c>
      <c r="O40">
        <v>2.0909</v>
      </c>
      <c r="P40">
        <v>4</v>
      </c>
      <c r="Q40">
        <v>0.52270000000000005</v>
      </c>
      <c r="R40">
        <v>1.35</v>
      </c>
      <c r="S40">
        <v>-0.1391</v>
      </c>
    </row>
    <row r="41" spans="1:19">
      <c r="A41" t="s">
        <v>58</v>
      </c>
      <c r="B41">
        <v>10</v>
      </c>
      <c r="C41">
        <v>9</v>
      </c>
      <c r="D41" s="2">
        <f>C41/B41</f>
        <v>0.9</v>
      </c>
      <c r="E41">
        <v>0.32140000000000002</v>
      </c>
      <c r="F41">
        <v>0.4667</v>
      </c>
      <c r="G41">
        <v>1</v>
      </c>
      <c r="H41">
        <v>-0.45340000000000003</v>
      </c>
      <c r="I41">
        <v>-0.22700000000000001</v>
      </c>
      <c r="J41">
        <v>3</v>
      </c>
      <c r="K41">
        <v>1</v>
      </c>
      <c r="L41">
        <v>3</v>
      </c>
      <c r="M41">
        <v>0</v>
      </c>
      <c r="N41" s="2">
        <f>L41/B41</f>
        <v>0.3</v>
      </c>
      <c r="O41">
        <v>1.9642999999999999</v>
      </c>
      <c r="P41">
        <v>4</v>
      </c>
      <c r="Q41">
        <v>0.49109999999999998</v>
      </c>
      <c r="R41">
        <v>1.9091</v>
      </c>
      <c r="S41">
        <v>0.59430000000000005</v>
      </c>
    </row>
    <row r="42" spans="1:19">
      <c r="A42" t="s">
        <v>59</v>
      </c>
      <c r="B42">
        <v>39</v>
      </c>
      <c r="C42">
        <v>35</v>
      </c>
      <c r="D42" s="2">
        <f>C42/B42</f>
        <v>0.89743589743589747</v>
      </c>
      <c r="E42">
        <v>0.1077</v>
      </c>
      <c r="F42">
        <v>0.183</v>
      </c>
      <c r="G42">
        <v>0.33329999999999999</v>
      </c>
      <c r="H42">
        <v>9.2899999999999996E-2</v>
      </c>
      <c r="I42">
        <v>0.40649999999999997</v>
      </c>
      <c r="J42">
        <v>3</v>
      </c>
      <c r="K42">
        <v>3</v>
      </c>
      <c r="L42">
        <v>9</v>
      </c>
      <c r="M42">
        <v>0</v>
      </c>
      <c r="N42" s="2">
        <f>L42/B42</f>
        <v>0.23076923076923078</v>
      </c>
      <c r="O42">
        <v>2.1667000000000001</v>
      </c>
      <c r="P42">
        <v>5</v>
      </c>
      <c r="Q42">
        <v>0.43330000000000002</v>
      </c>
      <c r="R42">
        <v>1.2286999999999999</v>
      </c>
      <c r="S42">
        <v>-0.12239999999999999</v>
      </c>
    </row>
    <row r="43" spans="1:19">
      <c r="A43" t="s">
        <v>60</v>
      </c>
      <c r="B43">
        <v>21</v>
      </c>
      <c r="C43">
        <v>18</v>
      </c>
      <c r="D43" s="2">
        <f>C43/B43</f>
        <v>0.8571428571428571</v>
      </c>
      <c r="E43">
        <v>0.1714</v>
      </c>
      <c r="F43">
        <v>0.31109999999999999</v>
      </c>
      <c r="G43">
        <v>0.38100000000000001</v>
      </c>
      <c r="H43">
        <v>-0.1134</v>
      </c>
      <c r="I43">
        <v>-0.26490000000000002</v>
      </c>
      <c r="J43">
        <v>3</v>
      </c>
      <c r="K43">
        <v>3</v>
      </c>
      <c r="L43">
        <v>5</v>
      </c>
      <c r="M43">
        <v>1</v>
      </c>
      <c r="N43" s="2">
        <f>L43/B43</f>
        <v>0.23809523809523808</v>
      </c>
      <c r="O43">
        <v>2.6025999999999998</v>
      </c>
      <c r="P43">
        <v>6</v>
      </c>
      <c r="Q43">
        <v>0.43380000000000002</v>
      </c>
      <c r="R43">
        <v>1.8128</v>
      </c>
      <c r="S43">
        <v>-5.4199999999999998E-2</v>
      </c>
    </row>
    <row r="44" spans="1:19">
      <c r="A44" t="s">
        <v>61</v>
      </c>
      <c r="B44">
        <v>35</v>
      </c>
      <c r="C44">
        <v>30</v>
      </c>
      <c r="D44" s="2">
        <f>C44/B44</f>
        <v>0.8571428571428571</v>
      </c>
      <c r="E44">
        <v>0.12989999999999999</v>
      </c>
      <c r="F44">
        <v>0.23810000000000001</v>
      </c>
      <c r="G44">
        <v>0.34549999999999997</v>
      </c>
      <c r="H44">
        <v>0.1021</v>
      </c>
      <c r="I44">
        <v>0.18260000000000001</v>
      </c>
      <c r="J44">
        <v>3</v>
      </c>
      <c r="K44">
        <v>4</v>
      </c>
      <c r="L44">
        <v>8</v>
      </c>
      <c r="M44">
        <v>2</v>
      </c>
      <c r="N44" s="2">
        <f>L44/B44</f>
        <v>0.22857142857142856</v>
      </c>
      <c r="O44">
        <v>1.9443999999999999</v>
      </c>
      <c r="P44">
        <v>4</v>
      </c>
      <c r="Q44">
        <v>0.48609999999999998</v>
      </c>
      <c r="R44">
        <v>1.631</v>
      </c>
      <c r="S44">
        <v>2.1399999999999999E-2</v>
      </c>
    </row>
    <row r="45" spans="1:19">
      <c r="A45" t="s">
        <v>62</v>
      </c>
      <c r="B45">
        <v>15</v>
      </c>
      <c r="C45">
        <v>12</v>
      </c>
      <c r="D45" s="2">
        <f>C45/B45</f>
        <v>0.8</v>
      </c>
      <c r="E45">
        <v>0.15379999999999999</v>
      </c>
      <c r="F45">
        <v>0.4667</v>
      </c>
      <c r="G45">
        <v>0.33329999999999999</v>
      </c>
      <c r="H45">
        <v>-0.16389999999999999</v>
      </c>
      <c r="I45">
        <v>-1.21E-2</v>
      </c>
      <c r="J45">
        <v>3</v>
      </c>
      <c r="K45">
        <v>1</v>
      </c>
      <c r="L45">
        <v>4</v>
      </c>
      <c r="M45">
        <v>0</v>
      </c>
      <c r="N45" s="2">
        <f>L45/B45</f>
        <v>0.26666666666666666</v>
      </c>
      <c r="O45">
        <v>2.3332999999999999</v>
      </c>
      <c r="P45">
        <v>4</v>
      </c>
      <c r="Q45">
        <v>0.58330000000000004</v>
      </c>
      <c r="R45">
        <v>0.98209999999999997</v>
      </c>
      <c r="S45">
        <v>-3.5700000000000003E-2</v>
      </c>
    </row>
    <row r="46" spans="1:19">
      <c r="A46" t="s">
        <v>63</v>
      </c>
      <c r="B46">
        <v>28</v>
      </c>
      <c r="C46">
        <v>21</v>
      </c>
      <c r="D46" s="2">
        <f>C46/B46</f>
        <v>0.75</v>
      </c>
      <c r="E46">
        <v>0.15440000000000001</v>
      </c>
      <c r="F46">
        <v>0.2576</v>
      </c>
      <c r="G46">
        <v>0.38100000000000001</v>
      </c>
      <c r="H46">
        <v>-7.0999999999999994E-2</v>
      </c>
      <c r="I46">
        <v>-5.5100000000000003E-2</v>
      </c>
      <c r="J46">
        <v>3</v>
      </c>
      <c r="K46">
        <v>4</v>
      </c>
      <c r="L46">
        <v>8</v>
      </c>
      <c r="M46">
        <v>2</v>
      </c>
      <c r="N46" s="2">
        <f>L46/B46</f>
        <v>0.2857142857142857</v>
      </c>
      <c r="O46">
        <v>2.0727000000000002</v>
      </c>
      <c r="P46">
        <v>4</v>
      </c>
      <c r="Q46">
        <v>0.51819999999999999</v>
      </c>
      <c r="R46">
        <v>2.2421000000000002</v>
      </c>
      <c r="S46">
        <v>-6.5799999999999997E-2</v>
      </c>
    </row>
    <row r="47" spans="1:19">
      <c r="A47" t="s">
        <v>64</v>
      </c>
      <c r="B47">
        <v>16</v>
      </c>
      <c r="C47">
        <v>11</v>
      </c>
      <c r="D47" s="2">
        <f>C47/B47</f>
        <v>0.6875</v>
      </c>
      <c r="E47">
        <v>0.14099999999999999</v>
      </c>
      <c r="F47">
        <v>0.25</v>
      </c>
      <c r="H47">
        <v>0.2326</v>
      </c>
      <c r="I47">
        <v>0.60350000000000004</v>
      </c>
      <c r="J47">
        <v>3</v>
      </c>
      <c r="K47">
        <v>2</v>
      </c>
      <c r="L47">
        <v>3</v>
      </c>
      <c r="M47">
        <v>0</v>
      </c>
      <c r="N47" s="2">
        <f>L47/B47</f>
        <v>0.1875</v>
      </c>
      <c r="O47">
        <v>1.7</v>
      </c>
      <c r="P47">
        <v>3</v>
      </c>
      <c r="Q47">
        <v>0.56669999999999998</v>
      </c>
      <c r="R47">
        <v>1.9412</v>
      </c>
      <c r="S47">
        <v>-5.8799999999999998E-2</v>
      </c>
    </row>
    <row r="48" spans="1:19">
      <c r="A48" t="s">
        <v>65</v>
      </c>
      <c r="B48">
        <v>17</v>
      </c>
      <c r="C48">
        <v>9</v>
      </c>
      <c r="D48" s="2">
        <f>C48/B48</f>
        <v>0.52941176470588236</v>
      </c>
      <c r="E48">
        <v>0.1154</v>
      </c>
      <c r="F48">
        <v>0.66669999999999996</v>
      </c>
      <c r="H48">
        <v>-8.6199999999999999E-2</v>
      </c>
      <c r="I48">
        <v>1.9800000000000002E-2</v>
      </c>
      <c r="J48">
        <v>3</v>
      </c>
      <c r="K48">
        <v>0</v>
      </c>
      <c r="L48">
        <v>0</v>
      </c>
      <c r="M48">
        <v>0</v>
      </c>
      <c r="N48" s="2">
        <f>L48/B48</f>
        <v>0</v>
      </c>
      <c r="O48">
        <v>2.0952000000000002</v>
      </c>
      <c r="P48">
        <v>4</v>
      </c>
      <c r="Q48">
        <v>0.52380000000000004</v>
      </c>
    </row>
    <row r="49" spans="1:19">
      <c r="A49" t="s">
        <v>66</v>
      </c>
      <c r="B49">
        <v>118</v>
      </c>
      <c r="C49">
        <v>43</v>
      </c>
      <c r="D49" s="2">
        <f>C49/B49</f>
        <v>0.36440677966101692</v>
      </c>
      <c r="E49">
        <v>7.6600000000000001E-2</v>
      </c>
      <c r="F49">
        <v>0.15240000000000001</v>
      </c>
      <c r="G49">
        <v>0.219</v>
      </c>
      <c r="H49">
        <v>0.1391</v>
      </c>
      <c r="I49">
        <v>0.44829999999999998</v>
      </c>
      <c r="J49">
        <v>3</v>
      </c>
      <c r="K49">
        <v>6</v>
      </c>
      <c r="L49">
        <v>12</v>
      </c>
      <c r="M49">
        <v>3</v>
      </c>
      <c r="N49" s="2">
        <f>L49/B49</f>
        <v>0.10169491525423729</v>
      </c>
      <c r="O49">
        <v>3.0238</v>
      </c>
      <c r="P49">
        <v>7</v>
      </c>
      <c r="Q49">
        <v>0.432</v>
      </c>
      <c r="R49">
        <v>2.3982999999999999</v>
      </c>
      <c r="S49">
        <v>-0.10630000000000001</v>
      </c>
    </row>
    <row r="50" spans="1:19">
      <c r="A50" t="s">
        <v>67</v>
      </c>
      <c r="B50">
        <v>9</v>
      </c>
      <c r="C50">
        <v>2</v>
      </c>
      <c r="D50" s="2">
        <f>C50/B50</f>
        <v>0.22222222222222221</v>
      </c>
      <c r="E50">
        <v>0.66669999999999996</v>
      </c>
      <c r="H50">
        <v>-1</v>
      </c>
      <c r="I50">
        <v>-0.49490000000000001</v>
      </c>
      <c r="J50">
        <v>3</v>
      </c>
      <c r="K50">
        <v>0</v>
      </c>
      <c r="L50">
        <v>0</v>
      </c>
      <c r="M50">
        <v>0</v>
      </c>
      <c r="N50" s="2">
        <f>L50/B50</f>
        <v>0</v>
      </c>
      <c r="O50">
        <v>1.3332999999999999</v>
      </c>
      <c r="P50">
        <v>2</v>
      </c>
      <c r="Q50">
        <v>0.66669999999999996</v>
      </c>
    </row>
    <row r="51" spans="1:19">
      <c r="A51" t="s">
        <v>68</v>
      </c>
      <c r="B51">
        <v>5</v>
      </c>
      <c r="C51">
        <v>1</v>
      </c>
      <c r="D51" s="2">
        <f>C51/B51</f>
        <v>0.2</v>
      </c>
      <c r="E51">
        <v>1</v>
      </c>
      <c r="J51">
        <v>3</v>
      </c>
      <c r="K51">
        <v>0</v>
      </c>
      <c r="L51">
        <v>0</v>
      </c>
      <c r="M51">
        <v>0</v>
      </c>
      <c r="N51" s="2">
        <f>L51/B51</f>
        <v>0</v>
      </c>
      <c r="O51">
        <v>1</v>
      </c>
      <c r="P51">
        <v>1</v>
      </c>
      <c r="Q51">
        <v>1</v>
      </c>
    </row>
    <row r="52" spans="1:19">
      <c r="A52" t="s">
        <v>69</v>
      </c>
      <c r="B52">
        <v>9</v>
      </c>
      <c r="C52">
        <v>0</v>
      </c>
      <c r="D52" s="2">
        <f>C52/B52</f>
        <v>0</v>
      </c>
      <c r="J52">
        <v>3</v>
      </c>
      <c r="K52">
        <v>0</v>
      </c>
      <c r="L52">
        <v>0</v>
      </c>
      <c r="M52">
        <v>0</v>
      </c>
      <c r="N52" s="2">
        <f>L52/B52</f>
        <v>0</v>
      </c>
    </row>
  </sheetData>
  <sortState xmlns:xlrd2="http://schemas.microsoft.com/office/spreadsheetml/2017/richdata2" ref="A2:S52">
    <sortCondition descending="1" ref="D2:D5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Herrera Martin, Roberto (MU-Student)</cp:lastModifiedBy>
  <cp:revision/>
  <dcterms:created xsi:type="dcterms:W3CDTF">2025-11-16T19:43:10Z</dcterms:created>
  <dcterms:modified xsi:type="dcterms:W3CDTF">2025-11-16T19:52:29Z</dcterms:modified>
  <cp:category/>
  <cp:contentStatus/>
</cp:coreProperties>
</file>